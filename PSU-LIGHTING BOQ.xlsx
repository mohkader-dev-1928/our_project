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My Drive\Shared\POWER\LIGHTING SYSTEM-PSU RESIDENCE BUILDINGS\BOQ\"/>
    </mc:Choice>
  </mc:AlternateContent>
  <xr:revisionPtr revIDLastSave="0" documentId="13_ncr:1_{29690A58-4A01-4BEE-9250-0012C09E8D5B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T&amp;C" sheetId="2" r:id="rId1"/>
    <sheet name="COMMERIAL" sheetId="4" r:id="rId2"/>
  </sheets>
  <definedNames>
    <definedName name="_xlnm.Print_Area" localSheetId="1">COMMERIAL!$A$1:$E$91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4" l="1"/>
  <c r="D34" i="4"/>
  <c r="D30" i="4"/>
  <c r="H16" i="2" l="1"/>
  <c r="H17" i="2"/>
  <c r="H18" i="2"/>
  <c r="H15" i="2"/>
  <c r="F16" i="2"/>
  <c r="F19" i="2" s="1"/>
  <c r="F17" i="2"/>
  <c r="F18" i="2"/>
  <c r="F15" i="2"/>
  <c r="D16" i="2"/>
  <c r="D17" i="2"/>
  <c r="D18" i="2"/>
  <c r="D15" i="2"/>
  <c r="H10" i="2"/>
  <c r="H11" i="2"/>
  <c r="H12" i="2"/>
  <c r="F9" i="2"/>
  <c r="H9" i="2"/>
  <c r="F10" i="2"/>
  <c r="F11" i="2"/>
  <c r="F12" i="2"/>
  <c r="D12" i="2"/>
  <c r="D10" i="2"/>
  <c r="D11" i="2"/>
  <c r="D9" i="2"/>
  <c r="B19" i="2"/>
  <c r="B13" i="2"/>
  <c r="B20" i="2" s="1"/>
  <c r="D13" i="2" l="1"/>
  <c r="D19" i="2"/>
  <c r="D20" i="2" s="1"/>
  <c r="H13" i="2"/>
  <c r="F13" i="2"/>
  <c r="F20" i="2" l="1"/>
  <c r="H19" i="2" l="1"/>
  <c r="H20" i="2" s="1"/>
</calcChain>
</file>

<file path=xl/sharedStrings.xml><?xml version="1.0" encoding="utf-8"?>
<sst xmlns="http://schemas.openxmlformats.org/spreadsheetml/2006/main" count="198" uniqueCount="77">
  <si>
    <t>TECHNICAL EVALUATION</t>
  </si>
  <si>
    <t>SUPPLIER (A) NAME</t>
  </si>
  <si>
    <t xml:space="preserve">OVERALL WEIGHT </t>
  </si>
  <si>
    <t>DESCRIPTION</t>
  </si>
  <si>
    <t>WEIGHT</t>
  </si>
  <si>
    <t>SCORE (0-10)</t>
  </si>
  <si>
    <t xml:space="preserve">SPECS COMPLIANCE </t>
  </si>
  <si>
    <t>INTEGRATION OF SOLUTION</t>
  </si>
  <si>
    <t>VENDOR SUPPORT</t>
  </si>
  <si>
    <t xml:space="preserve">SUPPLIER EXPERIENCE </t>
  </si>
  <si>
    <t>TECHNICAL TOTAL SCORE</t>
  </si>
  <si>
    <t>COMMERTIAL EVALUATION</t>
  </si>
  <si>
    <t>TOTAL COST OF OWNERSHIP</t>
  </si>
  <si>
    <t>PAYMENT TERMS</t>
  </si>
  <si>
    <t>LEAD TIME</t>
  </si>
  <si>
    <t>WARRANTY</t>
  </si>
  <si>
    <t>COMMERTIAL TOTAL SCORE</t>
  </si>
  <si>
    <t>OVERALL EVALUATION</t>
  </si>
  <si>
    <t>*NOTES:</t>
  </si>
  <si>
    <t>A- SCORE:</t>
  </si>
  <si>
    <t xml:space="preserve">          0-3 POOR</t>
  </si>
  <si>
    <t xml:space="preserve">          4-7 ACCEPTABLE</t>
  </si>
  <si>
    <t xml:space="preserve">          8-10 EXCELLENT </t>
  </si>
  <si>
    <t>B- TCO SCORE=(LOWEST BID/SUPPLIER BID)*40, BENCHMARK IS THE LOWEST</t>
  </si>
  <si>
    <t xml:space="preserve">C- INTEGRATION INCLUDE PREVIOUS APPROVALS FOR PRPOSED BRAND </t>
  </si>
  <si>
    <t>D- WARRANTY=(SUPPLIER BID/LONGEST BID)*10, BENCHMARK IS THE LONGEST</t>
  </si>
  <si>
    <t>E- LEAD TIME=(SHORTEST BID LEAD TIME/SUPPLIER BID LEAD TIME)*25, BENCHMARK IS THE SHORTEST</t>
  </si>
  <si>
    <t>F- PASSING TECHNICAL EVALUATION SHOULD SCORE OVER 75%</t>
  </si>
  <si>
    <t>G-  AWARDED SUPPLIER WILL BE HIGHER OVER ALL WEIGHT</t>
  </si>
  <si>
    <t>SUPPLIER's COMPARISON STATEMENT</t>
  </si>
  <si>
    <t>(Procurement Division)</t>
  </si>
  <si>
    <t>S/N</t>
  </si>
  <si>
    <t>Description</t>
  </si>
  <si>
    <t>BOQ Qty</t>
  </si>
  <si>
    <t>UOM</t>
  </si>
  <si>
    <t>ML</t>
  </si>
  <si>
    <t>Project Name :</t>
  </si>
  <si>
    <t>ITEM:</t>
  </si>
  <si>
    <t>LIGHTING FIXTURES</t>
  </si>
  <si>
    <t>AXION</t>
  </si>
  <si>
    <t>LT.07 - Underwater LED projector, white LED 3000k/20w, max 100mmØ, for water feature 02, by  local supplier.</t>
  </si>
  <si>
    <t>LT.08 - Water jet with LED RGB/20w light, max 200mmØ, for water feature 02, by  local supplier.</t>
  </si>
  <si>
    <t>NO</t>
  </si>
  <si>
    <t>EXIT SIGN LED LIGHT 4 W</t>
  </si>
  <si>
    <t>BASMENT</t>
  </si>
  <si>
    <t xml:space="preserve">SERVICE MOUNTED CIRCULAR LIGHT 15.5 W WITH EMERGENCY 
BATTERY 3HR </t>
  </si>
  <si>
    <t>BUILDING 1</t>
  </si>
  <si>
    <t>60X60 CM LIGHTING FIXTURE LED PANEL 37W ,IP 20 "INSIDE SHOPS"</t>
  </si>
  <si>
    <t>LANDSCAPE</t>
  </si>
  <si>
    <t>BUILDING 2</t>
  </si>
  <si>
    <t>BUILDING 3</t>
  </si>
  <si>
    <t>BUILDING 4</t>
  </si>
  <si>
    <t>BUILDING 5</t>
  </si>
  <si>
    <t>BUILDING 6</t>
  </si>
  <si>
    <t>BUILDING 7</t>
  </si>
  <si>
    <t>PSU RESIDANCE BUILDING</t>
  </si>
  <si>
    <t>Image</t>
  </si>
  <si>
    <t>LT.01 – Sidewalk light pole, white LED 3000k/42W, 4000mm high, light grey color, finish in cast aluminium, and stainless steel, with white synthetic diffuser, like model 'Tube' from Platek,  or equivalent. IP65, IK10. AS MODEL 'TUBE' FROM 'PLATEK' , OR APPROVED EQUAL</t>
  </si>
  <si>
    <t>LT.02 - Sidewalk bollard with light, white LED 3000K/25W,  800 x 120 x 120mm, grey color, finish in aluminium, like model 'Blinker Bollard' from SistemaLuxor, or equivalent. IP65, 370LM. As model ‘Blinker bollard’ from ‘SistemaLux  OR APPROVED EQUAL</t>
  </si>
  <si>
    <t xml:space="preserve">LT.03 - Flexible linear LED lighting, 10mm, LED 2600K, like model 'Underscore InOut' from 'IGuzzini',or equivalent, under the white concrete low wall planter / bench. 14W/m, 3000K, IP68 AS MODEL OSRAM LF200-G3-830-04 OR APPROVED </t>
  </si>
  <si>
    <t>LT.04 - Sidewalk recessed wall luminaire, LED 12.2W, 130 x 50 x 50mm, grey color, smooth finish, like model '24 060 K3' from Bega, or equivalent. 15W,848LM, 3000K, IP65  As model ‘24 060 K3’ from ‘BEGA’, or equivalent</t>
  </si>
  <si>
    <t>LT.05 Plaza, in-ground recessed lighting, LED 2800k, 600 x 30 x 30mm, finish in stainless steel with acrylic glass, like  model 'Lane' from 'Trif Light', or equivalent. 5W/m, 520LM, IP68و As model ‘Lane’ from ‘Trif Light’, or equivalent</t>
  </si>
  <si>
    <t>LT.06 - Directional lighting projector for trees and tall shrubs, LED 3000k , with earth spike, graphite color, cast aluminium finish, like model '84770 K3' from Bega, or equival 9.8W, 791LM,3000K,IP65و As model ’84 807 K3’ from ‘BEGA’,  OR APPROVED EQUAL .</t>
  </si>
  <si>
    <t>SURFACE  MOUNTED LED LIGHT 120CM/33 W 4300LM , 4000K, IP66و AS MODEL THORN AQUAFORCE PRO OR APPROVED</t>
  </si>
  <si>
    <t>SURFACE OR PENDANT MOUNTED LED LIGHT 120CM/42 W, 5200LM, IP66و AS MODEL THORN AQUAFORCE PRO OR APPROVED</t>
  </si>
  <si>
    <t>WALL MOUNTED LIGHT FIXTURE, 9W, IP65. SIMILAR TO BEGA 241834 OR APPROVED EQUAL</t>
  </si>
  <si>
    <t>UP LIGHT LUMINAIR WITH 9W / LED/IP68,490LM, 3000K, IP68و SIMILAR TO LEDS-C4  OR APPROVED EQUAL</t>
  </si>
  <si>
    <t>RECESSED DOWN LED LIGHT 22 W  , IP44, 2100LM , HIGH GLOSS REFLECTORو PHILIPS CORELINE  DN130B  OR APPROVED EQUAL</t>
  </si>
  <si>
    <t>RECESSED DOWN LED LIGHT 22 W  , IP20, و PHILIPS CORELINE  DN130B  OR APPROVED EQUAL</t>
  </si>
  <si>
    <t>RECESSED DOWN LED LIGHT 9.5 W  , IP20و SIMILAR TO PHILIPS CORELINE  DN140B  OR APPROVED EQUAL</t>
  </si>
  <si>
    <t>PENDANT MOUNTED LIGHTING FIXTURE 60 W, IP20و SIMILAR TO PHILIPS Amaze  OR APPROVED EQUAL</t>
  </si>
  <si>
    <t xml:space="preserve">SERFUCE MOUNTED CIRCULAR LIGHT 15.5 W WITH EMERGENCY 
BATTERY 3HR و SIMILAR TO THORN
Novaline OR APPROVED EQUAL.
</t>
  </si>
  <si>
    <t>60X60 CM LIGHTING FIXTURE LED PANEL 37W ,IP 20, 4300LM, SIMILAR TO PHILIPS CORELINE  PANEL  RC132V  OR APPROVED EQUAL</t>
  </si>
  <si>
    <t>60X60 CM LIGHTING FIXTURE LED PANEL 37W ,IP 20, 4300LM, SIMILAR TO PHILIPS CORELINE  PANEL  RC132V  OR APPROVED EQUALINSIDE SHOP"</t>
  </si>
  <si>
    <t>RECESSED DOWN LED LIGHT 22 W  , IP20, و PHILIPS CORELINE  DN130B  OR APPROVED EQUAL "INSIDE MULTI PURPOSE HALL"</t>
  </si>
  <si>
    <t>60X60 CM LIGHTING FIXTURE LED PANEL 37W ,IP 20, 4300LM, SIMILAR TO PHILIPS CORELINE  PANEL  RC132V  OR APPROVED EQUAL"INSIDE SHOPS"</t>
  </si>
  <si>
    <t>LIGHTING FIXTURES BOQ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</si>
</sst>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8"/>
      <name val="Arial"/>
      <family val="2"/>
    </font>
    <font>
      <b/>
      <sz val="11"/>
      <color rgb="FF0070C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name val="Calibri Light"/>
      <family val="2"/>
      <scheme val="major"/>
    </font>
    <font>
      <b/>
      <u/>
      <sz val="12"/>
      <color rgb="FFFF0000"/>
      <name val="Calibri Light"/>
      <family val="2"/>
      <scheme val="major"/>
    </font>
    <font>
      <sz val="10"/>
      <name val="Arial"/>
      <family val="2"/>
    </font>
    <font>
      <sz val="10"/>
      <name val="Gotham"/>
    </font>
    <font>
      <sz val="10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5" fillId="0" borderId="0"/>
  </cellStyleXfs>
  <cellXfs count="68">
    <xf numFmtId="0" fontId="0" fillId="0" borderId="0" xfId="0"/>
    <xf numFmtId="2" fontId="4" fillId="0" borderId="0" xfId="1" applyNumberFormat="1" applyFont="1">
      <alignment vertical="center"/>
    </xf>
    <xf numFmtId="0" fontId="5" fillId="0" borderId="0" xfId="0" applyFont="1"/>
    <xf numFmtId="2" fontId="6" fillId="0" borderId="0" xfId="1" applyNumberFormat="1" applyFont="1">
      <alignment vertical="center"/>
    </xf>
    <xf numFmtId="2" fontId="7" fillId="0" borderId="0" xfId="1" applyNumberFormat="1" applyFont="1">
      <alignment vertical="center"/>
    </xf>
    <xf numFmtId="2" fontId="7" fillId="0" borderId="0" xfId="1" applyNumberFormat="1" applyFont="1" applyAlignment="1">
      <alignment horizontal="center" vertical="center"/>
    </xf>
    <xf numFmtId="10" fontId="5" fillId="0" borderId="0" xfId="0" applyNumberFormat="1" applyFont="1"/>
    <xf numFmtId="0" fontId="8" fillId="0" borderId="0" xfId="0" applyFont="1"/>
    <xf numFmtId="0" fontId="5" fillId="0" borderId="8" xfId="0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0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0" fontId="8" fillId="0" borderId="11" xfId="0" applyNumberFormat="1" applyFont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10" fontId="10" fillId="3" borderId="11" xfId="0" applyNumberFormat="1" applyFont="1" applyFill="1" applyBorder="1" applyAlignment="1">
      <alignment horizontal="center"/>
    </xf>
    <xf numFmtId="0" fontId="11" fillId="3" borderId="0" xfId="0" applyFont="1" applyFill="1"/>
    <xf numFmtId="0" fontId="12" fillId="0" borderId="0" xfId="0" applyFont="1"/>
    <xf numFmtId="2" fontId="11" fillId="0" borderId="0" xfId="1" applyNumberFormat="1" applyFont="1">
      <alignment vertical="center"/>
    </xf>
    <xf numFmtId="2" fontId="11" fillId="0" borderId="0" xfId="1" applyNumberFormat="1" applyFont="1" applyAlignment="1">
      <alignment horizontal="center" vertical="center"/>
    </xf>
    <xf numFmtId="1" fontId="11" fillId="0" borderId="11" xfId="1" applyNumberFormat="1" applyFont="1" applyBorder="1" applyAlignment="1">
      <alignment horizontal="center" vertical="center"/>
    </xf>
    <xf numFmtId="2" fontId="11" fillId="0" borderId="11" xfId="2" applyNumberFormat="1" applyFont="1" applyFill="1" applyBorder="1" applyAlignment="1">
      <alignment horizontal="center" vertical="center" wrapText="1"/>
    </xf>
    <xf numFmtId="2" fontId="7" fillId="4" borderId="20" xfId="1" applyNumberFormat="1" applyFont="1" applyFill="1" applyBorder="1" applyAlignment="1">
      <alignment horizontal="center" vertical="center"/>
    </xf>
    <xf numFmtId="2" fontId="7" fillId="4" borderId="21" xfId="1" applyNumberFormat="1" applyFont="1" applyFill="1" applyBorder="1" applyAlignment="1">
      <alignment horizontal="center" vertical="center"/>
    </xf>
    <xf numFmtId="2" fontId="7" fillId="4" borderId="21" xfId="1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2" fontId="7" fillId="4" borderId="0" xfId="1" applyNumberFormat="1" applyFont="1" applyFill="1" applyAlignment="1">
      <alignment horizontal="center" vertical="center"/>
    </xf>
    <xf numFmtId="2" fontId="11" fillId="4" borderId="0" xfId="1" applyNumberFormat="1" applyFont="1" applyFill="1">
      <alignment vertical="center"/>
    </xf>
    <xf numFmtId="2" fontId="7" fillId="4" borderId="0" xfId="1" applyNumberFormat="1" applyFont="1" applyFill="1">
      <alignment vertical="center"/>
    </xf>
    <xf numFmtId="2" fontId="5" fillId="0" borderId="11" xfId="2" applyNumberFormat="1" applyFont="1" applyFill="1" applyBorder="1" applyAlignment="1">
      <alignment vertical="center" wrapText="1"/>
    </xf>
    <xf numFmtId="2" fontId="5" fillId="4" borderId="11" xfId="2" applyNumberFormat="1" applyFont="1" applyFill="1" applyBorder="1" applyAlignment="1">
      <alignment vertical="center" wrapText="1"/>
    </xf>
    <xf numFmtId="2" fontId="9" fillId="4" borderId="11" xfId="2" applyNumberFormat="1" applyFont="1" applyFill="1" applyBorder="1" applyAlignment="1">
      <alignment horizontal="center" vertical="center" wrapText="1"/>
    </xf>
    <xf numFmtId="0" fontId="11" fillId="0" borderId="11" xfId="4" applyFont="1" applyBorder="1" applyAlignment="1">
      <alignment vertical="center" wrapText="1"/>
    </xf>
    <xf numFmtId="0" fontId="11" fillId="4" borderId="11" xfId="4" applyFont="1" applyFill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7" fillId="0" borderId="11" xfId="4" applyFont="1" applyBorder="1" applyAlignment="1">
      <alignment horizontal="center" vertical="center" wrapText="1"/>
    </xf>
    <xf numFmtId="0" fontId="7" fillId="4" borderId="11" xfId="4" applyFont="1" applyFill="1" applyBorder="1" applyAlignment="1">
      <alignment horizontal="center" vertical="center" wrapText="1"/>
    </xf>
    <xf numFmtId="0" fontId="14" fillId="0" borderId="11" xfId="4" applyFont="1" applyBorder="1" applyAlignment="1">
      <alignment horizontal="center" vertical="center" wrapText="1"/>
    </xf>
    <xf numFmtId="1" fontId="14" fillId="0" borderId="11" xfId="6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16" fontId="6" fillId="0" borderId="0" xfId="0" applyNumberFormat="1" applyFont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8" xfId="0" applyNumberFormat="1" applyFont="1" applyBorder="1" applyAlignment="1">
      <alignment horizontal="center" vertical="center" wrapText="1"/>
    </xf>
    <xf numFmtId="10" fontId="9" fillId="0" borderId="5" xfId="0" applyNumberFormat="1" applyFont="1" applyBorder="1" applyAlignment="1">
      <alignment horizontal="center"/>
    </xf>
    <xf numFmtId="2" fontId="11" fillId="0" borderId="23" xfId="1" applyNumberFormat="1" applyFont="1" applyBorder="1" applyAlignment="1">
      <alignment horizontal="center" vertical="center"/>
    </xf>
    <xf numFmtId="2" fontId="7" fillId="0" borderId="4" xfId="1" applyNumberFormat="1" applyFont="1" applyBorder="1" applyAlignment="1">
      <alignment horizontal="center" vertical="center"/>
    </xf>
    <xf numFmtId="2" fontId="7" fillId="0" borderId="7" xfId="1" applyNumberFormat="1" applyFont="1" applyBorder="1" applyAlignment="1">
      <alignment horizontal="center" vertical="center"/>
    </xf>
    <xf numFmtId="2" fontId="7" fillId="5" borderId="15" xfId="1" applyNumberFormat="1" applyFont="1" applyFill="1" applyBorder="1" applyAlignment="1">
      <alignment horizontal="center" vertical="center"/>
    </xf>
    <xf numFmtId="2" fontId="7" fillId="5" borderId="18" xfId="1" applyNumberFormat="1" applyFont="1" applyFill="1" applyBorder="1" applyAlignment="1">
      <alignment horizontal="center" vertical="center"/>
    </xf>
    <xf numFmtId="2" fontId="7" fillId="5" borderId="15" xfId="1" applyNumberFormat="1" applyFont="1" applyFill="1" applyBorder="1" applyAlignment="1">
      <alignment horizontal="center" vertical="center" wrapText="1"/>
    </xf>
    <xf numFmtId="2" fontId="7" fillId="5" borderId="18" xfId="1" applyNumberFormat="1" applyFont="1" applyFill="1" applyBorder="1" applyAlignment="1">
      <alignment horizontal="center" vertical="center" wrapText="1"/>
    </xf>
    <xf numFmtId="2" fontId="7" fillId="5" borderId="16" xfId="1" applyNumberFormat="1" applyFont="1" applyFill="1" applyBorder="1" applyAlignment="1">
      <alignment horizontal="center" vertical="center"/>
    </xf>
    <xf numFmtId="2" fontId="7" fillId="5" borderId="19" xfId="1" applyNumberFormat="1" applyFont="1" applyFill="1" applyBorder="1" applyAlignment="1">
      <alignment horizontal="center" vertical="center"/>
    </xf>
    <xf numFmtId="2" fontId="7" fillId="5" borderId="17" xfId="1" applyNumberFormat="1" applyFont="1" applyFill="1" applyBorder="1" applyAlignment="1">
      <alignment horizontal="center" vertical="center"/>
    </xf>
    <xf numFmtId="2" fontId="7" fillId="5" borderId="22" xfId="1" applyNumberFormat="1" applyFont="1" applyFill="1" applyBorder="1" applyAlignment="1">
      <alignment horizontal="center" vertical="center"/>
    </xf>
  </cellXfs>
  <cellStyles count="9">
    <cellStyle name="Comma 2" xfId="2" xr:uid="{21CD0CA2-9610-4E58-97D6-9907A29C1547}"/>
    <cellStyle name="Normal" xfId="0" builtinId="0"/>
    <cellStyle name="Normal 2" xfId="1" xr:uid="{14A9982E-5E66-4773-94C7-43FAF29CEE5A}"/>
    <cellStyle name="Normal 2 2" xfId="6" xr:uid="{4CD2AE09-BAAA-4BFB-8416-C0B16A8209E4}"/>
    <cellStyle name="Normal 20 27" xfId="7" xr:uid="{C26E0118-38EC-47B4-813B-65288575B3BC}"/>
    <cellStyle name="Normal 3" xfId="5" xr:uid="{53391A47-1D81-4C92-B250-CAFBA9885F0E}"/>
    <cellStyle name="Normal 3 2 2" xfId="8" xr:uid="{148DE186-E3A7-432E-B361-1793786E586D}"/>
    <cellStyle name="Normal_Finishes 4E" xfId="4" xr:uid="{AE61880C-A3BB-4C26-BB78-9534B83CA70C}"/>
    <cellStyle name="표준_Sheet1_1" xfId="3" xr:uid="{8F81C659-A0D7-48C0-ADCB-FA6971D2B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0</xdr:col>
      <xdr:colOff>1647825</xdr:colOff>
      <xdr:row>4</xdr:row>
      <xdr:rowOff>101652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DEF14-46CA-4E41-8CA9-1B8FC736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85725"/>
          <a:ext cx="1409700" cy="7779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612320</xdr:colOff>
      <xdr:row>0</xdr:row>
      <xdr:rowOff>32657</xdr:rowOff>
    </xdr:from>
    <xdr:to>
      <xdr:col>4</xdr:col>
      <xdr:colOff>471364</xdr:colOff>
      <xdr:row>6</xdr:row>
      <xdr:rowOff>166928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50E38-5704-4B98-AF02-EF0FDC0BF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9070" y="32657"/>
          <a:ext cx="2308330" cy="1277271"/>
        </a:xfrm>
        <a:prstGeom prst="rect">
          <a:avLst/>
        </a:prstGeom>
      </xdr:spPr>
    </xdr:pic>
    <xdr:clientData/>
  </xdr:twoCellAnchor>
  <xdr:twoCellAnchor editAs="oneCell">
    <xdr:from>
      <xdr:col>2</xdr:col>
      <xdr:colOff>649942</xdr:colOff>
      <xdr:row>12</xdr:row>
      <xdr:rowOff>44024</xdr:rowOff>
    </xdr:from>
    <xdr:to>
      <xdr:col>2</xdr:col>
      <xdr:colOff>1019736</xdr:colOff>
      <xdr:row>12</xdr:row>
      <xdr:rowOff>1015125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A500B6-3AE7-5B74-2D8E-C5C0A696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6692" y="2166738"/>
          <a:ext cx="369794" cy="971101"/>
        </a:xfrm>
        <a:prstGeom prst="rect">
          <a:avLst/>
        </a:prstGeom>
      </xdr:spPr>
    </xdr:pic>
    <xdr:clientData/>
  </xdr:twoCellAnchor>
  <xdr:twoCellAnchor editAs="oneCell">
    <xdr:from>
      <xdr:col>2</xdr:col>
      <xdr:colOff>661148</xdr:colOff>
      <xdr:row>13</xdr:row>
      <xdr:rowOff>61798</xdr:rowOff>
    </xdr:from>
    <xdr:to>
      <xdr:col>2</xdr:col>
      <xdr:colOff>1165412</xdr:colOff>
      <xdr:row>13</xdr:row>
      <xdr:rowOff>918881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57A2CE-747F-CBA1-0675-369AC338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1089" y="3143416"/>
          <a:ext cx="504264" cy="857083"/>
        </a:xfrm>
        <a:prstGeom prst="rect">
          <a:avLst/>
        </a:prstGeom>
      </xdr:spPr>
    </xdr:pic>
    <xdr:clientData/>
  </xdr:twoCellAnchor>
  <xdr:twoCellAnchor editAs="oneCell">
    <xdr:from>
      <xdr:col>2</xdr:col>
      <xdr:colOff>175644</xdr:colOff>
      <xdr:row>14</xdr:row>
      <xdr:rowOff>67235</xdr:rowOff>
    </xdr:from>
    <xdr:to>
      <xdr:col>2</xdr:col>
      <xdr:colOff>1439924</xdr:colOff>
      <xdr:row>14</xdr:row>
      <xdr:rowOff>908467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62DB1F-9BF7-32F4-406D-7D05BAED3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4635585" y="4101353"/>
          <a:ext cx="1264280" cy="841232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15</xdr:row>
      <xdr:rowOff>145677</xdr:rowOff>
    </xdr:from>
    <xdr:to>
      <xdr:col>2</xdr:col>
      <xdr:colOff>1493927</xdr:colOff>
      <xdr:row>15</xdr:row>
      <xdr:rowOff>841099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CE3CB0-9440-0723-2D4E-582F7359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9235" y="5121089"/>
          <a:ext cx="1314633" cy="695422"/>
        </a:xfrm>
        <a:prstGeom prst="rect">
          <a:avLst/>
        </a:prstGeom>
      </xdr:spPr>
    </xdr:pic>
    <xdr:clientData/>
  </xdr:twoCellAnchor>
  <xdr:twoCellAnchor editAs="oneCell">
    <xdr:from>
      <xdr:col>2</xdr:col>
      <xdr:colOff>593912</xdr:colOff>
      <xdr:row>17</xdr:row>
      <xdr:rowOff>89647</xdr:rowOff>
    </xdr:from>
    <xdr:to>
      <xdr:col>2</xdr:col>
      <xdr:colOff>1203491</xdr:colOff>
      <xdr:row>17</xdr:row>
      <xdr:rowOff>806405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F38870-0865-DA04-87BB-4CF3F0806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53853" y="6745941"/>
          <a:ext cx="609579" cy="716758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145676</xdr:colOff>
      <xdr:row>21</xdr:row>
      <xdr:rowOff>67234</xdr:rowOff>
    </xdr:from>
    <xdr:to>
      <xdr:col>2</xdr:col>
      <xdr:colOff>1568823</xdr:colOff>
      <xdr:row>22</xdr:row>
      <xdr:rowOff>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AFA7D-02E3-66B8-BE3A-F9714C25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05617" y="9155205"/>
          <a:ext cx="1423147" cy="101856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24</xdr:row>
      <xdr:rowOff>17929</xdr:rowOff>
    </xdr:from>
    <xdr:to>
      <xdr:col>2</xdr:col>
      <xdr:colOff>1575547</xdr:colOff>
      <xdr:row>24</xdr:row>
      <xdr:rowOff>1036491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2B7EE9-C529-468B-986F-1CC89E32B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12341" y="10730753"/>
          <a:ext cx="1423147" cy="1018562"/>
        </a:xfrm>
        <a:prstGeom prst="rect">
          <a:avLst/>
        </a:prstGeom>
      </xdr:spPr>
    </xdr:pic>
    <xdr:clientData/>
  </xdr:twoCellAnchor>
  <xdr:twoCellAnchor editAs="oneCell">
    <xdr:from>
      <xdr:col>2</xdr:col>
      <xdr:colOff>493060</xdr:colOff>
      <xdr:row>26</xdr:row>
      <xdr:rowOff>22411</xdr:rowOff>
    </xdr:from>
    <xdr:to>
      <xdr:col>2</xdr:col>
      <xdr:colOff>1232647</xdr:colOff>
      <xdr:row>26</xdr:row>
      <xdr:rowOff>862852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2E31D1-A02D-3049-933C-04A96BFD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1" y="11945470"/>
          <a:ext cx="739587" cy="840441"/>
        </a:xfrm>
        <a:prstGeom prst="rect">
          <a:avLst/>
        </a:prstGeom>
      </xdr:spPr>
    </xdr:pic>
    <xdr:clientData/>
  </xdr:twoCellAnchor>
  <xdr:twoCellAnchor editAs="oneCell">
    <xdr:from>
      <xdr:col>2</xdr:col>
      <xdr:colOff>244993</xdr:colOff>
      <xdr:row>33</xdr:row>
      <xdr:rowOff>78441</xdr:rowOff>
    </xdr:from>
    <xdr:to>
      <xdr:col>2</xdr:col>
      <xdr:colOff>1556166</xdr:colOff>
      <xdr:row>33</xdr:row>
      <xdr:rowOff>753894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BDBBD8-DA58-C465-F1D0-EA3945141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04934" y="14253882"/>
          <a:ext cx="1311173" cy="675453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212913</xdr:colOff>
      <xdr:row>30</xdr:row>
      <xdr:rowOff>112058</xdr:rowOff>
    </xdr:from>
    <xdr:to>
      <xdr:col>2</xdr:col>
      <xdr:colOff>1543150</xdr:colOff>
      <xdr:row>30</xdr:row>
      <xdr:rowOff>854746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916326-16F6-A6DE-F192-D77CC021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72854" y="13525499"/>
          <a:ext cx="1330237" cy="742688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16</xdr:row>
      <xdr:rowOff>100853</xdr:rowOff>
    </xdr:from>
    <xdr:to>
      <xdr:col>2</xdr:col>
      <xdr:colOff>1546411</xdr:colOff>
      <xdr:row>16</xdr:row>
      <xdr:rowOff>713851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7E8C93-BCD9-98E8-F7B9-45936A8A1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0089" y="5950324"/>
          <a:ext cx="1266263" cy="612998"/>
        </a:xfrm>
        <a:prstGeom prst="rect">
          <a:avLst/>
        </a:prstGeom>
      </xdr:spPr>
    </xdr:pic>
    <xdr:clientData/>
  </xdr:twoCellAnchor>
  <xdr:twoCellAnchor editAs="oneCell">
    <xdr:from>
      <xdr:col>2</xdr:col>
      <xdr:colOff>299359</xdr:colOff>
      <xdr:row>22</xdr:row>
      <xdr:rowOff>408213</xdr:rowOff>
    </xdr:from>
    <xdr:to>
      <xdr:col>2</xdr:col>
      <xdr:colOff>1483179</xdr:colOff>
      <xdr:row>22</xdr:row>
      <xdr:rowOff>1370624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210C14-C758-105F-A8BE-094A3D15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76109" y="10599963"/>
          <a:ext cx="1183820" cy="962411"/>
        </a:xfrm>
        <a:prstGeom prst="rect">
          <a:avLst/>
        </a:prstGeom>
      </xdr:spPr>
    </xdr:pic>
    <xdr:clientData/>
  </xdr:twoCellAnchor>
  <xdr:twoCellAnchor editAs="oneCell">
    <xdr:from>
      <xdr:col>2</xdr:col>
      <xdr:colOff>261259</xdr:colOff>
      <xdr:row>23</xdr:row>
      <xdr:rowOff>302077</xdr:rowOff>
    </xdr:from>
    <xdr:to>
      <xdr:col>2</xdr:col>
      <xdr:colOff>1445079</xdr:colOff>
      <xdr:row>23</xdr:row>
      <xdr:rowOff>1264488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8C2522-1850-4CD8-990D-138F82225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38009" y="12126684"/>
          <a:ext cx="1183820" cy="96241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29</xdr:row>
      <xdr:rowOff>54429</xdr:rowOff>
    </xdr:from>
    <xdr:to>
      <xdr:col>2</xdr:col>
      <xdr:colOff>1201023</xdr:colOff>
      <xdr:row>29</xdr:row>
      <xdr:rowOff>1105559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73778AF-0147-22EB-471C-DE94EC82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53002" y="15852322"/>
          <a:ext cx="724771" cy="105113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</xdr:row>
      <xdr:rowOff>0</xdr:rowOff>
    </xdr:from>
    <xdr:to>
      <xdr:col>1</xdr:col>
      <xdr:colOff>2178179</xdr:colOff>
      <xdr:row>6</xdr:row>
      <xdr:rowOff>180857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3401D2-BBFC-451C-B676-1B51E0D5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0" y="381000"/>
          <a:ext cx="2600000" cy="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372717</xdr:colOff>
      <xdr:row>32</xdr:row>
      <xdr:rowOff>16565</xdr:rowOff>
    </xdr:from>
    <xdr:to>
      <xdr:col>2</xdr:col>
      <xdr:colOff>1175262</xdr:colOff>
      <xdr:row>33</xdr:row>
      <xdr:rowOff>3494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C442AF0-8397-17CF-9706-591F1D72B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45326" y="20126739"/>
          <a:ext cx="802545" cy="873169"/>
        </a:xfrm>
        <a:prstGeom prst="rect">
          <a:avLst/>
        </a:prstGeom>
      </xdr:spPr>
    </xdr:pic>
    <xdr:clientData/>
  </xdr:twoCellAnchor>
  <xdr:twoCellAnchor editAs="oneCell">
    <xdr:from>
      <xdr:col>2</xdr:col>
      <xdr:colOff>480392</xdr:colOff>
      <xdr:row>28</xdr:row>
      <xdr:rowOff>91108</xdr:rowOff>
    </xdr:from>
    <xdr:to>
      <xdr:col>2</xdr:col>
      <xdr:colOff>1242392</xdr:colOff>
      <xdr:row>28</xdr:row>
      <xdr:rowOff>853108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C561412-1986-5BD6-E726-0F92B053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53001" y="16606630"/>
          <a:ext cx="762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C955-FB79-420B-8956-A7298C0B2CD1}">
  <dimension ref="A1:T32"/>
  <sheetViews>
    <sheetView workbookViewId="0">
      <selection activeCell="C9" sqref="C9"/>
    </sheetView>
  </sheetViews>
  <sheetFormatPr defaultColWidth="9.109375" defaultRowHeight="14.4"/>
  <cols>
    <col min="1" max="1" width="27.6640625" style="2" customWidth="1"/>
    <col min="2" max="2" width="10.109375" style="2" bestFit="1" customWidth="1"/>
    <col min="3" max="3" width="15.109375" style="2" customWidth="1"/>
    <col min="4" max="4" width="13.5546875" style="2" customWidth="1"/>
    <col min="5" max="5" width="14.6640625" style="2" customWidth="1"/>
    <col min="6" max="6" width="13.5546875" style="2" customWidth="1"/>
    <col min="7" max="7" width="13.6640625" style="2" customWidth="1"/>
    <col min="8" max="8" width="15.44140625" style="2" customWidth="1"/>
    <col min="9" max="16384" width="9.109375" style="2"/>
  </cols>
  <sheetData>
    <row r="1" spans="1:20">
      <c r="A1" s="42" t="s">
        <v>29</v>
      </c>
      <c r="B1" s="42"/>
      <c r="C1" s="42"/>
      <c r="D1" s="42"/>
      <c r="E1" s="42"/>
      <c r="F1" s="42"/>
      <c r="G1" s="42"/>
      <c r="H1" s="4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43" t="s">
        <v>30</v>
      </c>
      <c r="B2" s="43"/>
      <c r="C2" s="43"/>
      <c r="D2" s="43"/>
      <c r="E2" s="43"/>
      <c r="F2" s="43"/>
      <c r="G2" s="43"/>
      <c r="H2" s="4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4"/>
      <c r="B3" s="4"/>
      <c r="C3" s="4" t="s">
        <v>36</v>
      </c>
      <c r="D3" s="41" t="s">
        <v>55</v>
      </c>
      <c r="E3" s="41"/>
      <c r="F3" s="41"/>
      <c r="G3" s="4"/>
      <c r="H3" s="4"/>
      <c r="I3" s="4"/>
      <c r="J3" s="4"/>
      <c r="K3" s="4"/>
      <c r="L3" s="41"/>
      <c r="M3" s="41"/>
      <c r="N3" s="4"/>
      <c r="O3" s="4"/>
      <c r="P3" s="4"/>
      <c r="Q3" s="4"/>
      <c r="R3" s="4"/>
      <c r="S3" s="4"/>
      <c r="T3" s="4"/>
    </row>
    <row r="4" spans="1:20">
      <c r="A4" s="4"/>
      <c r="B4" s="4"/>
      <c r="C4" s="4" t="s">
        <v>37</v>
      </c>
      <c r="D4" s="41" t="s">
        <v>38</v>
      </c>
      <c r="E4" s="41"/>
      <c r="F4" s="41"/>
      <c r="G4" s="4"/>
      <c r="H4" s="4"/>
      <c r="I4" s="4"/>
      <c r="J4" s="4"/>
      <c r="K4" s="4"/>
      <c r="L4" s="41"/>
      <c r="M4" s="41"/>
      <c r="N4" s="4"/>
      <c r="O4" s="4"/>
      <c r="P4" s="4"/>
      <c r="Q4" s="4"/>
      <c r="R4" s="4"/>
      <c r="S4" s="4"/>
      <c r="T4" s="4"/>
    </row>
    <row r="5" spans="1:20" ht="15.6">
      <c r="E5" s="6"/>
      <c r="G5" s="6"/>
      <c r="H5" s="7"/>
    </row>
    <row r="6" spans="1:20" ht="16.2" thickBot="1">
      <c r="A6" s="49" t="s">
        <v>0</v>
      </c>
      <c r="B6" s="50"/>
      <c r="C6" s="50"/>
      <c r="D6" s="50"/>
      <c r="E6" s="50"/>
      <c r="F6" s="50"/>
      <c r="G6" s="50"/>
      <c r="H6" s="51"/>
    </row>
    <row r="7" spans="1:20">
      <c r="A7" s="52" t="s">
        <v>3</v>
      </c>
      <c r="B7" s="54" t="s">
        <v>2</v>
      </c>
      <c r="C7" s="56" t="s">
        <v>39</v>
      </c>
      <c r="D7" s="56"/>
      <c r="E7" s="56" t="s">
        <v>1</v>
      </c>
      <c r="F7" s="56"/>
      <c r="G7" s="56" t="s">
        <v>1</v>
      </c>
      <c r="H7" s="56"/>
    </row>
    <row r="8" spans="1:20" ht="15" thickBot="1">
      <c r="A8" s="53"/>
      <c r="B8" s="55"/>
      <c r="C8" s="8" t="s">
        <v>5</v>
      </c>
      <c r="D8" s="9" t="s">
        <v>4</v>
      </c>
      <c r="E8" s="8" t="s">
        <v>5</v>
      </c>
      <c r="F8" s="9" t="s">
        <v>4</v>
      </c>
      <c r="G8" s="8" t="s">
        <v>5</v>
      </c>
      <c r="H8" s="9" t="s">
        <v>4</v>
      </c>
    </row>
    <row r="9" spans="1:20">
      <c r="A9" s="10" t="s">
        <v>6</v>
      </c>
      <c r="B9" s="11">
        <v>0.4</v>
      </c>
      <c r="D9" s="11">
        <f>(C9/10)*(B9/100)*100</f>
        <v>0</v>
      </c>
      <c r="E9" s="11"/>
      <c r="F9" s="11">
        <f>(E9/10)*(B9/100)*100</f>
        <v>0</v>
      </c>
      <c r="G9" s="11"/>
      <c r="H9" s="11">
        <f>(G9/10)*(B9/100)*100</f>
        <v>0</v>
      </c>
    </row>
    <row r="10" spans="1:20">
      <c r="A10" s="12" t="s">
        <v>7</v>
      </c>
      <c r="B10" s="13">
        <v>0.3</v>
      </c>
      <c r="D10" s="11">
        <f t="shared" ref="D10:D11" si="0">(C10/10)*(B10/100)*100</f>
        <v>0</v>
      </c>
      <c r="E10" s="11"/>
      <c r="F10" s="11">
        <f t="shared" ref="F10:F12" si="1">(E10/10)*(B10/100)*100</f>
        <v>0</v>
      </c>
      <c r="G10" s="11"/>
      <c r="H10" s="11">
        <f t="shared" ref="H10:H12" si="2">(G10/10)*(B10/100)*100</f>
        <v>0</v>
      </c>
    </row>
    <row r="11" spans="1:20">
      <c r="A11" s="12" t="s">
        <v>8</v>
      </c>
      <c r="B11" s="13">
        <v>0.15</v>
      </c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</row>
    <row r="12" spans="1:20">
      <c r="A12" s="12" t="s">
        <v>9</v>
      </c>
      <c r="B12" s="13">
        <v>0.15</v>
      </c>
      <c r="D12" s="11">
        <f>(C12/10)*(B12/100)*100</f>
        <v>0</v>
      </c>
      <c r="E12" s="11"/>
      <c r="F12" s="11">
        <f t="shared" si="1"/>
        <v>0</v>
      </c>
      <c r="G12" s="11"/>
      <c r="H12" s="11">
        <f t="shared" si="2"/>
        <v>0</v>
      </c>
    </row>
    <row r="13" spans="1:20" ht="15.6">
      <c r="A13" s="14" t="s">
        <v>10</v>
      </c>
      <c r="B13" s="15">
        <f>SUM(B9:B12)</f>
        <v>1</v>
      </c>
      <c r="D13" s="15">
        <f>SUM(D9:D12)</f>
        <v>0</v>
      </c>
      <c r="E13" s="15"/>
      <c r="F13" s="15">
        <f t="shared" ref="F13:H13" si="3">SUM(F9:F12)</f>
        <v>0</v>
      </c>
      <c r="G13" s="15"/>
      <c r="H13" s="15">
        <f t="shared" si="3"/>
        <v>0</v>
      </c>
    </row>
    <row r="14" spans="1:20" ht="15.6">
      <c r="A14" s="45" t="s">
        <v>11</v>
      </c>
      <c r="B14" s="46"/>
      <c r="C14" s="46"/>
      <c r="D14" s="46"/>
      <c r="E14" s="46"/>
      <c r="F14" s="46"/>
      <c r="G14" s="46"/>
      <c r="H14" s="47"/>
    </row>
    <row r="15" spans="1:20">
      <c r="A15" s="12" t="s">
        <v>12</v>
      </c>
      <c r="B15" s="13">
        <v>0.4</v>
      </c>
      <c r="D15" s="13">
        <f>(C15/10)*(B15/100)*100</f>
        <v>0</v>
      </c>
      <c r="E15" s="13"/>
      <c r="F15" s="13">
        <f>(E15/10)*(B15/100)*100</f>
        <v>0</v>
      </c>
      <c r="G15" s="13"/>
      <c r="H15" s="13">
        <f>(G15/10)*(B15/100)*100</f>
        <v>0</v>
      </c>
    </row>
    <row r="16" spans="1:20">
      <c r="A16" s="12" t="s">
        <v>13</v>
      </c>
      <c r="B16" s="13">
        <v>0.25</v>
      </c>
      <c r="D16" s="13">
        <f t="shared" ref="D16:D18" si="4">(C16/10)*(B16/100)*100</f>
        <v>0</v>
      </c>
      <c r="E16" s="13"/>
      <c r="F16" s="13">
        <f t="shared" ref="F16:F18" si="5">(E16/10)*(B16/100)*100</f>
        <v>0</v>
      </c>
      <c r="G16" s="13"/>
      <c r="H16" s="13">
        <f t="shared" ref="H16:H18" si="6">(G16/10)*(B16/100)*100</f>
        <v>0</v>
      </c>
    </row>
    <row r="17" spans="1:8">
      <c r="A17" s="12" t="s">
        <v>14</v>
      </c>
      <c r="B17" s="13">
        <v>0.25</v>
      </c>
      <c r="D17" s="13">
        <f t="shared" si="4"/>
        <v>0</v>
      </c>
      <c r="E17" s="13"/>
      <c r="F17" s="13">
        <f t="shared" si="5"/>
        <v>0</v>
      </c>
      <c r="G17" s="13"/>
      <c r="H17" s="13">
        <f t="shared" si="6"/>
        <v>0</v>
      </c>
    </row>
    <row r="18" spans="1:8">
      <c r="A18" s="12" t="s">
        <v>15</v>
      </c>
      <c r="B18" s="13">
        <v>0.1</v>
      </c>
      <c r="D18" s="13">
        <f t="shared" si="4"/>
        <v>0</v>
      </c>
      <c r="E18" s="13"/>
      <c r="F18" s="13">
        <f t="shared" si="5"/>
        <v>0</v>
      </c>
      <c r="G18" s="13"/>
      <c r="H18" s="13">
        <f t="shared" si="6"/>
        <v>0</v>
      </c>
    </row>
    <row r="19" spans="1:8" ht="15.6">
      <c r="A19" s="14" t="s">
        <v>16</v>
      </c>
      <c r="B19" s="15">
        <f>SUM(B15:B18)</f>
        <v>1</v>
      </c>
      <c r="D19" s="15">
        <f>SUM(D15:D18)</f>
        <v>0</v>
      </c>
      <c r="E19" s="15"/>
      <c r="F19" s="15">
        <f t="shared" ref="F19:H19" si="7">SUM(F15:F18)</f>
        <v>0</v>
      </c>
      <c r="G19" s="15"/>
      <c r="H19" s="15">
        <f t="shared" si="7"/>
        <v>0</v>
      </c>
    </row>
    <row r="20" spans="1:8" ht="15.6">
      <c r="A20" s="16" t="s">
        <v>17</v>
      </c>
      <c r="B20" s="17">
        <f>(B13+B19)/2</f>
        <v>1</v>
      </c>
      <c r="C20" s="18"/>
      <c r="D20" s="17">
        <f>(D13+D19)/2</f>
        <v>0</v>
      </c>
      <c r="E20" s="18"/>
      <c r="F20" s="17">
        <f>(F13+F19)/2</f>
        <v>0</v>
      </c>
      <c r="G20" s="18"/>
      <c r="H20" s="17">
        <f>(H13+H19)/2</f>
        <v>0</v>
      </c>
    </row>
    <row r="22" spans="1:8" ht="15.6">
      <c r="A22" s="19" t="s">
        <v>18</v>
      </c>
    </row>
    <row r="23" spans="1:8">
      <c r="A23" s="44" t="s">
        <v>19</v>
      </c>
      <c r="B23" s="44"/>
      <c r="C23" s="44"/>
      <c r="D23" s="44"/>
      <c r="E23" s="44"/>
      <c r="F23" s="44"/>
      <c r="G23" s="44"/>
      <c r="H23" s="44"/>
    </row>
    <row r="24" spans="1:8">
      <c r="A24" s="44" t="s">
        <v>20</v>
      </c>
      <c r="B24" s="44"/>
      <c r="C24" s="44"/>
      <c r="D24" s="44"/>
      <c r="E24" s="44"/>
      <c r="F24" s="44"/>
      <c r="G24" s="44"/>
      <c r="H24" s="44"/>
    </row>
    <row r="25" spans="1:8">
      <c r="A25" s="48" t="s">
        <v>21</v>
      </c>
      <c r="B25" s="44"/>
      <c r="C25" s="44"/>
      <c r="D25" s="44"/>
      <c r="E25" s="44"/>
      <c r="F25" s="44"/>
      <c r="G25" s="44"/>
      <c r="H25" s="44"/>
    </row>
    <row r="26" spans="1:8">
      <c r="A26" s="44" t="s">
        <v>22</v>
      </c>
      <c r="B26" s="44"/>
      <c r="C26" s="44"/>
      <c r="D26" s="44"/>
      <c r="E26" s="44"/>
      <c r="F26" s="44"/>
      <c r="G26" s="44"/>
      <c r="H26" s="44"/>
    </row>
    <row r="27" spans="1:8">
      <c r="A27" s="44" t="s">
        <v>23</v>
      </c>
      <c r="B27" s="44"/>
      <c r="C27" s="44"/>
      <c r="D27" s="44"/>
      <c r="E27" s="44"/>
      <c r="F27" s="44"/>
      <c r="G27" s="44"/>
      <c r="H27" s="44"/>
    </row>
    <row r="28" spans="1:8">
      <c r="A28" s="44" t="s">
        <v>24</v>
      </c>
      <c r="B28" s="44"/>
      <c r="C28" s="44"/>
      <c r="D28" s="44"/>
      <c r="E28" s="44"/>
      <c r="F28" s="44"/>
      <c r="G28" s="44"/>
      <c r="H28" s="44"/>
    </row>
    <row r="29" spans="1:8">
      <c r="A29" s="44" t="s">
        <v>25</v>
      </c>
      <c r="B29" s="44"/>
      <c r="C29" s="44"/>
      <c r="D29" s="44"/>
      <c r="E29" s="44"/>
      <c r="F29" s="44"/>
      <c r="G29" s="44"/>
      <c r="H29" s="44"/>
    </row>
    <row r="30" spans="1:8">
      <c r="A30" s="44" t="s">
        <v>26</v>
      </c>
      <c r="B30" s="44"/>
      <c r="C30" s="44"/>
      <c r="D30" s="44"/>
      <c r="E30" s="44"/>
      <c r="F30" s="44"/>
      <c r="G30" s="44"/>
      <c r="H30" s="44"/>
    </row>
    <row r="31" spans="1:8">
      <c r="A31" s="44" t="s">
        <v>27</v>
      </c>
      <c r="B31" s="44"/>
      <c r="C31" s="44"/>
      <c r="D31" s="44"/>
      <c r="E31" s="44"/>
      <c r="F31" s="44"/>
      <c r="G31" s="44"/>
      <c r="H31" s="44"/>
    </row>
    <row r="32" spans="1:8">
      <c r="A32" s="44" t="s">
        <v>28</v>
      </c>
      <c r="B32" s="44"/>
      <c r="C32" s="44"/>
      <c r="D32" s="44"/>
      <c r="E32" s="44"/>
      <c r="F32" s="44"/>
      <c r="G32" s="44"/>
      <c r="H32" s="44"/>
    </row>
  </sheetData>
  <mergeCells count="23">
    <mergeCell ref="A6:H6"/>
    <mergeCell ref="A7:A8"/>
    <mergeCell ref="B7:B8"/>
    <mergeCell ref="C7:D7"/>
    <mergeCell ref="E7:F7"/>
    <mergeCell ref="G7:H7"/>
    <mergeCell ref="A32:H32"/>
    <mergeCell ref="A14:H14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L4:M4"/>
    <mergeCell ref="A1:H1"/>
    <mergeCell ref="A2:H2"/>
    <mergeCell ref="D3:F3"/>
    <mergeCell ref="D4:F4"/>
    <mergeCell ref="L3:M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4EC4-E23C-4A49-93C1-AC86FB1AF17C}">
  <dimension ref="A1:E91"/>
  <sheetViews>
    <sheetView tabSelected="1" view="pageBreakPreview" topLeftCell="C1" zoomScale="115" zoomScaleNormal="70" zoomScaleSheetLayoutView="115" workbookViewId="0">
      <selection activeCell="C13" sqref="C13"/>
    </sheetView>
  </sheetViews>
  <sheetFormatPr defaultColWidth="9.109375" defaultRowHeight="14.4"/>
  <cols>
    <col min="1" max="1" width="9.109375" style="2"/>
    <col min="2" max="2" width="57.88671875" style="2" customWidth="1"/>
    <col min="3" max="3" width="25.88671875" style="27" customWidth="1"/>
    <col min="4" max="4" width="10.88671875" style="2" customWidth="1"/>
    <col min="5" max="16384" width="9.109375" style="2"/>
  </cols>
  <sheetData>
    <row r="1" spans="1:5">
      <c r="A1" s="5"/>
      <c r="B1" s="20"/>
      <c r="C1" s="29"/>
      <c r="D1" s="21"/>
      <c r="E1" s="20"/>
    </row>
    <row r="2" spans="1:5">
      <c r="A2" s="42"/>
      <c r="B2" s="42"/>
      <c r="C2" s="42"/>
      <c r="D2" s="42"/>
      <c r="E2" s="42"/>
    </row>
    <row r="3" spans="1:5">
      <c r="A3" s="43"/>
      <c r="B3" s="43"/>
      <c r="C3" s="43"/>
      <c r="D3" s="43"/>
      <c r="E3" s="43"/>
    </row>
    <row r="4" spans="1:5">
      <c r="A4" s="4"/>
      <c r="B4" s="4"/>
      <c r="C4" s="30"/>
      <c r="D4" s="4"/>
      <c r="E4" s="4"/>
    </row>
    <row r="5" spans="1:5">
      <c r="A5" s="4"/>
      <c r="B5" s="4"/>
      <c r="C5" s="30"/>
      <c r="D5" s="4"/>
      <c r="E5" s="4"/>
    </row>
    <row r="6" spans="1:5">
      <c r="A6" s="4"/>
      <c r="B6" s="4"/>
      <c r="C6" s="30"/>
      <c r="D6" s="21"/>
      <c r="E6" s="20"/>
    </row>
    <row r="7" spans="1:5">
      <c r="A7" s="4"/>
      <c r="B7" s="4"/>
      <c r="C7" s="30"/>
      <c r="D7" s="21"/>
      <c r="E7" s="20"/>
    </row>
    <row r="8" spans="1:5">
      <c r="A8" s="4"/>
      <c r="B8" s="4"/>
      <c r="C8" s="30"/>
      <c r="D8" s="21"/>
      <c r="E8" s="20"/>
    </row>
    <row r="9" spans="1:5" ht="15" thickBot="1">
      <c r="A9" s="20"/>
      <c r="B9" s="57" t="s">
        <v>76</v>
      </c>
      <c r="C9" s="57"/>
      <c r="D9" s="57"/>
      <c r="E9" s="20"/>
    </row>
    <row r="10" spans="1:5">
      <c r="A10" s="58" t="s">
        <v>31</v>
      </c>
      <c r="B10" s="60" t="s">
        <v>32</v>
      </c>
      <c r="C10" s="66" t="s">
        <v>56</v>
      </c>
      <c r="D10" s="62" t="s">
        <v>33</v>
      </c>
      <c r="E10" s="64" t="s">
        <v>34</v>
      </c>
    </row>
    <row r="11" spans="1:5" ht="15" thickBot="1">
      <c r="A11" s="59"/>
      <c r="B11" s="61"/>
      <c r="C11" s="67"/>
      <c r="D11" s="63"/>
      <c r="E11" s="65"/>
    </row>
    <row r="12" spans="1:5" s="27" customFormat="1">
      <c r="A12" s="24"/>
      <c r="B12" s="25" t="s">
        <v>48</v>
      </c>
      <c r="C12" s="28"/>
      <c r="D12" s="26"/>
      <c r="E12" s="25"/>
    </row>
    <row r="13" spans="1:5" ht="87.75" customHeight="1">
      <c r="A13" s="22">
        <v>1</v>
      </c>
      <c r="B13" s="31" t="s">
        <v>57</v>
      </c>
      <c r="C13" s="32"/>
      <c r="D13" s="23">
        <v>42</v>
      </c>
      <c r="E13" s="23" t="s">
        <v>42</v>
      </c>
    </row>
    <row r="14" spans="1:5" ht="90" customHeight="1">
      <c r="A14" s="22">
        <v>2</v>
      </c>
      <c r="B14" s="31" t="s">
        <v>58</v>
      </c>
      <c r="C14" s="32"/>
      <c r="D14" s="23">
        <v>58</v>
      </c>
      <c r="E14" s="23" t="s">
        <v>42</v>
      </c>
    </row>
    <row r="15" spans="1:5" ht="74.25" customHeight="1">
      <c r="A15" s="22">
        <v>3</v>
      </c>
      <c r="B15" s="32" t="s">
        <v>59</v>
      </c>
      <c r="C15" s="32"/>
      <c r="D15" s="23">
        <v>135</v>
      </c>
      <c r="E15" s="23" t="s">
        <v>35</v>
      </c>
    </row>
    <row r="16" spans="1:5" ht="69" customHeight="1">
      <c r="A16" s="22">
        <v>4</v>
      </c>
      <c r="B16" s="32" t="s">
        <v>60</v>
      </c>
      <c r="C16" s="32"/>
      <c r="D16" s="23">
        <v>22</v>
      </c>
      <c r="E16" s="23" t="s">
        <v>42</v>
      </c>
    </row>
    <row r="17" spans="1:5" ht="63.75" customHeight="1">
      <c r="A17" s="22">
        <v>5</v>
      </c>
      <c r="B17" s="32" t="s">
        <v>61</v>
      </c>
      <c r="C17" s="32"/>
      <c r="D17" s="23">
        <v>75</v>
      </c>
      <c r="E17" s="23" t="s">
        <v>42</v>
      </c>
    </row>
    <row r="18" spans="1:5" ht="97.5" customHeight="1">
      <c r="A18" s="22">
        <v>6</v>
      </c>
      <c r="B18" s="32" t="s">
        <v>62</v>
      </c>
      <c r="C18" s="32"/>
      <c r="D18" s="23">
        <v>82</v>
      </c>
      <c r="E18" s="23" t="s">
        <v>42</v>
      </c>
    </row>
    <row r="19" spans="1:5" ht="53.25" customHeight="1">
      <c r="A19" s="22">
        <v>7</v>
      </c>
      <c r="B19" s="32" t="s">
        <v>40</v>
      </c>
      <c r="C19" s="32"/>
      <c r="D19" s="23">
        <v>6</v>
      </c>
      <c r="E19" s="23" t="s">
        <v>42</v>
      </c>
    </row>
    <row r="20" spans="1:5" ht="45" customHeight="1">
      <c r="A20" s="22">
        <v>8</v>
      </c>
      <c r="B20" s="32" t="s">
        <v>41</v>
      </c>
      <c r="C20" s="32"/>
      <c r="D20" s="23">
        <v>25</v>
      </c>
      <c r="E20" s="23" t="s">
        <v>42</v>
      </c>
    </row>
    <row r="21" spans="1:5" ht="24" customHeight="1">
      <c r="A21" s="22"/>
      <c r="B21" s="33" t="s">
        <v>44</v>
      </c>
      <c r="C21" s="33"/>
      <c r="D21" s="23"/>
      <c r="E21" s="23"/>
    </row>
    <row r="22" spans="1:5" ht="85.5" customHeight="1">
      <c r="A22" s="22">
        <v>9</v>
      </c>
      <c r="B22" s="34" t="s">
        <v>63</v>
      </c>
      <c r="C22" s="35"/>
      <c r="D22" s="36">
        <v>129</v>
      </c>
      <c r="E22" s="23" t="s">
        <v>42</v>
      </c>
    </row>
    <row r="23" spans="1:5" ht="129" customHeight="1">
      <c r="A23" s="22">
        <v>10</v>
      </c>
      <c r="B23" s="34" t="s">
        <v>67</v>
      </c>
      <c r="C23" s="35"/>
      <c r="D23" s="36">
        <v>15</v>
      </c>
      <c r="E23" s="23" t="s">
        <v>42</v>
      </c>
    </row>
    <row r="24" spans="1:5" ht="112.5" customHeight="1">
      <c r="A24" s="22">
        <v>11</v>
      </c>
      <c r="B24" s="34" t="s">
        <v>68</v>
      </c>
      <c r="C24" s="35"/>
      <c r="D24" s="36">
        <v>104</v>
      </c>
      <c r="E24" s="23" t="s">
        <v>42</v>
      </c>
    </row>
    <row r="25" spans="1:5" ht="84" customHeight="1">
      <c r="A25" s="22">
        <v>12</v>
      </c>
      <c r="B25" s="34" t="s">
        <v>64</v>
      </c>
      <c r="C25" s="35"/>
      <c r="D25" s="36">
        <v>914</v>
      </c>
      <c r="E25" s="23" t="s">
        <v>42</v>
      </c>
    </row>
    <row r="26" spans="1:5">
      <c r="A26" s="22">
        <v>13</v>
      </c>
      <c r="B26" s="34" t="s">
        <v>43</v>
      </c>
      <c r="C26" s="35"/>
      <c r="D26" s="36">
        <v>60</v>
      </c>
      <c r="E26" s="23" t="s">
        <v>42</v>
      </c>
    </row>
    <row r="27" spans="1:5" ht="72" customHeight="1">
      <c r="A27" s="22">
        <v>14</v>
      </c>
      <c r="B27" s="34" t="s">
        <v>66</v>
      </c>
      <c r="C27" s="35"/>
      <c r="D27" s="36">
        <v>118</v>
      </c>
      <c r="E27" s="23" t="s">
        <v>42</v>
      </c>
    </row>
    <row r="28" spans="1:5">
      <c r="A28" s="22"/>
      <c r="B28" s="37" t="s">
        <v>46</v>
      </c>
      <c r="C28" s="38"/>
      <c r="D28" s="36"/>
      <c r="E28" s="23"/>
    </row>
    <row r="29" spans="1:5" ht="72.75" customHeight="1">
      <c r="A29" s="22">
        <v>15</v>
      </c>
      <c r="B29" s="34" t="s">
        <v>65</v>
      </c>
      <c r="C29" s="35"/>
      <c r="D29" s="39">
        <v>38</v>
      </c>
      <c r="E29" s="23" t="s">
        <v>42</v>
      </c>
    </row>
    <row r="30" spans="1:5" ht="92.25" customHeight="1">
      <c r="A30" s="22">
        <v>16</v>
      </c>
      <c r="B30" s="34" t="s">
        <v>70</v>
      </c>
      <c r="C30" s="35"/>
      <c r="D30" s="39">
        <f>(2*46)+(2*12)</f>
        <v>116</v>
      </c>
      <c r="E30" s="23" t="s">
        <v>42</v>
      </c>
    </row>
    <row r="31" spans="1:5" ht="74.25" customHeight="1">
      <c r="A31" s="22">
        <v>17</v>
      </c>
      <c r="B31" s="34" t="s">
        <v>72</v>
      </c>
      <c r="C31" s="35"/>
      <c r="D31" s="39">
        <v>162</v>
      </c>
      <c r="E31" s="23" t="s">
        <v>42</v>
      </c>
    </row>
    <row r="32" spans="1:5" ht="67.5" customHeight="1">
      <c r="A32" s="22">
        <v>18</v>
      </c>
      <c r="B32" s="34" t="s">
        <v>63</v>
      </c>
      <c r="C32" s="35"/>
      <c r="D32" s="39">
        <v>46</v>
      </c>
      <c r="E32" s="23" t="s">
        <v>42</v>
      </c>
    </row>
    <row r="33" spans="1:5" ht="69.75" customHeight="1">
      <c r="A33" s="22">
        <v>19</v>
      </c>
      <c r="B33" s="34" t="s">
        <v>71</v>
      </c>
      <c r="C33" s="35"/>
      <c r="D33" s="39">
        <v>67</v>
      </c>
      <c r="E33" s="23" t="s">
        <v>42</v>
      </c>
    </row>
    <row r="34" spans="1:5" ht="63" customHeight="1">
      <c r="A34" s="22">
        <v>20</v>
      </c>
      <c r="B34" s="34" t="s">
        <v>69</v>
      </c>
      <c r="C34" s="35"/>
      <c r="D34" s="39">
        <f>(33*46)+(20*12)</f>
        <v>1758</v>
      </c>
      <c r="E34" s="23" t="s">
        <v>42</v>
      </c>
    </row>
    <row r="35" spans="1:5" ht="28.8">
      <c r="A35" s="22">
        <v>21</v>
      </c>
      <c r="B35" s="34" t="s">
        <v>68</v>
      </c>
      <c r="C35" s="35"/>
      <c r="D35" s="39">
        <v>146</v>
      </c>
      <c r="E35" s="23" t="s">
        <v>42</v>
      </c>
    </row>
    <row r="36" spans="1:5" ht="28.8">
      <c r="A36" s="22">
        <v>22</v>
      </c>
      <c r="B36" s="34" t="s">
        <v>67</v>
      </c>
      <c r="C36" s="35"/>
      <c r="D36" s="39">
        <f>(4*46)+(2*12)</f>
        <v>208</v>
      </c>
      <c r="E36" s="23" t="s">
        <v>42</v>
      </c>
    </row>
    <row r="37" spans="1:5">
      <c r="A37" s="22">
        <v>23</v>
      </c>
      <c r="B37" s="34" t="s">
        <v>43</v>
      </c>
      <c r="C37" s="35"/>
      <c r="D37" s="39">
        <v>27</v>
      </c>
      <c r="E37" s="23" t="s">
        <v>42</v>
      </c>
    </row>
    <row r="38" spans="1:5">
      <c r="A38" s="22"/>
      <c r="B38" s="37" t="s">
        <v>49</v>
      </c>
      <c r="C38" s="38"/>
      <c r="D38" s="39"/>
      <c r="E38" s="23"/>
    </row>
    <row r="39" spans="1:5" ht="57.6">
      <c r="A39" s="22">
        <v>24</v>
      </c>
      <c r="B39" s="34" t="s">
        <v>71</v>
      </c>
      <c r="C39" s="35"/>
      <c r="D39" s="40">
        <v>52</v>
      </c>
      <c r="E39" s="23" t="s">
        <v>42</v>
      </c>
    </row>
    <row r="40" spans="1:5" ht="28.8">
      <c r="A40" s="22">
        <v>25</v>
      </c>
      <c r="B40" s="34" t="s">
        <v>68</v>
      </c>
      <c r="C40" s="35"/>
      <c r="D40" s="40">
        <v>94</v>
      </c>
      <c r="E40" s="23" t="s">
        <v>42</v>
      </c>
    </row>
    <row r="41" spans="1:5" ht="28.8">
      <c r="A41" s="22">
        <v>26</v>
      </c>
      <c r="B41" s="34" t="s">
        <v>67</v>
      </c>
      <c r="C41" s="35"/>
      <c r="D41" s="40">
        <v>164</v>
      </c>
      <c r="E41" s="23" t="s">
        <v>42</v>
      </c>
    </row>
    <row r="42" spans="1:5" ht="28.8">
      <c r="A42" s="22">
        <v>27</v>
      </c>
      <c r="B42" s="34" t="s">
        <v>69</v>
      </c>
      <c r="C42" s="35"/>
      <c r="D42" s="40">
        <v>1276</v>
      </c>
      <c r="E42" s="23" t="s">
        <v>42</v>
      </c>
    </row>
    <row r="43" spans="1:5" ht="43.2">
      <c r="A43" s="22">
        <v>28</v>
      </c>
      <c r="B43" s="34" t="s">
        <v>72</v>
      </c>
      <c r="C43" s="35"/>
      <c r="D43" s="40">
        <v>116</v>
      </c>
      <c r="E43" s="23" t="s">
        <v>42</v>
      </c>
    </row>
    <row r="44" spans="1:5" ht="57.75" customHeight="1">
      <c r="A44" s="22">
        <v>29</v>
      </c>
      <c r="B44" s="34" t="s">
        <v>73</v>
      </c>
      <c r="C44" s="35"/>
      <c r="D44" s="40">
        <v>64</v>
      </c>
      <c r="E44" s="23" t="s">
        <v>42</v>
      </c>
    </row>
    <row r="45" spans="1:5" ht="28.8">
      <c r="A45" s="22">
        <v>30</v>
      </c>
      <c r="B45" s="34" t="s">
        <v>63</v>
      </c>
      <c r="C45" s="35"/>
      <c r="D45" s="40">
        <v>42</v>
      </c>
      <c r="E45" s="23" t="s">
        <v>42</v>
      </c>
    </row>
    <row r="46" spans="1:5" ht="28.8">
      <c r="A46" s="22">
        <v>31</v>
      </c>
      <c r="B46" s="34" t="s">
        <v>70</v>
      </c>
      <c r="C46" s="35"/>
      <c r="D46" s="40">
        <v>60</v>
      </c>
      <c r="E46" s="23" t="s">
        <v>42</v>
      </c>
    </row>
    <row r="47" spans="1:5" ht="28.8">
      <c r="A47" s="22">
        <v>32</v>
      </c>
      <c r="B47" s="34" t="s">
        <v>65</v>
      </c>
      <c r="C47" s="35"/>
      <c r="D47" s="40">
        <v>18</v>
      </c>
      <c r="E47" s="23" t="s">
        <v>42</v>
      </c>
    </row>
    <row r="48" spans="1:5">
      <c r="A48" s="22">
        <v>33</v>
      </c>
      <c r="B48" s="34" t="s">
        <v>43</v>
      </c>
      <c r="C48" s="35"/>
      <c r="D48" s="40">
        <v>19</v>
      </c>
      <c r="E48" s="23" t="s">
        <v>42</v>
      </c>
    </row>
    <row r="49" spans="1:5">
      <c r="A49" s="22"/>
      <c r="B49" s="37" t="s">
        <v>50</v>
      </c>
      <c r="C49" s="38"/>
      <c r="D49" s="40"/>
      <c r="E49" s="23"/>
    </row>
    <row r="50" spans="1:5" ht="28.8">
      <c r="A50" s="22">
        <v>34</v>
      </c>
      <c r="B50" s="34" t="s">
        <v>65</v>
      </c>
      <c r="C50" s="35"/>
      <c r="D50" s="36">
        <v>37</v>
      </c>
      <c r="E50" s="23" t="s">
        <v>42</v>
      </c>
    </row>
    <row r="51" spans="1:5" ht="28.8">
      <c r="A51" s="22">
        <v>35</v>
      </c>
      <c r="B51" s="34" t="s">
        <v>70</v>
      </c>
      <c r="C51" s="35"/>
      <c r="D51" s="36">
        <v>112</v>
      </c>
      <c r="E51" s="23" t="s">
        <v>42</v>
      </c>
    </row>
    <row r="52" spans="1:5" ht="43.2">
      <c r="A52" s="22">
        <v>36</v>
      </c>
      <c r="B52" s="34" t="s">
        <v>72</v>
      </c>
      <c r="C52" s="35"/>
      <c r="D52" s="36">
        <v>132</v>
      </c>
      <c r="E52" s="23" t="s">
        <v>42</v>
      </c>
    </row>
    <row r="53" spans="1:5" ht="28.8">
      <c r="A53" s="22">
        <v>37</v>
      </c>
      <c r="B53" s="34" t="s">
        <v>63</v>
      </c>
      <c r="C53" s="35"/>
      <c r="D53" s="36">
        <v>40</v>
      </c>
      <c r="E53" s="23" t="s">
        <v>42</v>
      </c>
    </row>
    <row r="54" spans="1:5" ht="79.5" customHeight="1">
      <c r="A54" s="22">
        <v>38</v>
      </c>
      <c r="B54" s="34" t="s">
        <v>71</v>
      </c>
      <c r="C54" s="35"/>
      <c r="D54" s="36">
        <v>68</v>
      </c>
      <c r="E54" s="23" t="s">
        <v>42</v>
      </c>
    </row>
    <row r="55" spans="1:5" ht="28.8">
      <c r="A55" s="22">
        <v>39</v>
      </c>
      <c r="B55" s="34" t="s">
        <v>69</v>
      </c>
      <c r="C55" s="35"/>
      <c r="D55" s="36">
        <v>1692</v>
      </c>
      <c r="E55" s="23" t="s">
        <v>42</v>
      </c>
    </row>
    <row r="56" spans="1:5" ht="28.8">
      <c r="A56" s="22">
        <v>40</v>
      </c>
      <c r="B56" s="34" t="s">
        <v>68</v>
      </c>
      <c r="C56" s="35"/>
      <c r="D56" s="36">
        <v>182</v>
      </c>
      <c r="E56" s="23" t="s">
        <v>42</v>
      </c>
    </row>
    <row r="57" spans="1:5" ht="28.8">
      <c r="A57" s="22">
        <v>41</v>
      </c>
      <c r="B57" s="34" t="s">
        <v>67</v>
      </c>
      <c r="C57" s="35"/>
      <c r="D57" s="36">
        <v>200</v>
      </c>
      <c r="E57" s="23" t="s">
        <v>42</v>
      </c>
    </row>
    <row r="58" spans="1:5">
      <c r="A58" s="22">
        <v>42</v>
      </c>
      <c r="B58" s="34" t="s">
        <v>43</v>
      </c>
      <c r="C58" s="35"/>
      <c r="D58" s="36">
        <v>27</v>
      </c>
      <c r="E58" s="23" t="s">
        <v>42</v>
      </c>
    </row>
    <row r="59" spans="1:5">
      <c r="A59" s="22"/>
      <c r="B59" s="37" t="s">
        <v>51</v>
      </c>
      <c r="C59" s="38"/>
      <c r="D59" s="36"/>
      <c r="E59" s="23"/>
    </row>
    <row r="60" spans="1:5" ht="57.6">
      <c r="A60" s="22">
        <v>43</v>
      </c>
      <c r="B60" s="34" t="s">
        <v>71</v>
      </c>
      <c r="C60" s="35"/>
      <c r="D60" s="40">
        <v>72</v>
      </c>
      <c r="E60" s="23" t="s">
        <v>42</v>
      </c>
    </row>
    <row r="61" spans="1:5" ht="28.8">
      <c r="A61" s="22">
        <v>44</v>
      </c>
      <c r="B61" s="34" t="s">
        <v>68</v>
      </c>
      <c r="C61" s="35"/>
      <c r="D61" s="40">
        <v>27</v>
      </c>
      <c r="E61" s="23" t="s">
        <v>42</v>
      </c>
    </row>
    <row r="62" spans="1:5" ht="54.75" customHeight="1">
      <c r="A62" s="22">
        <v>45</v>
      </c>
      <c r="B62" s="34" t="s">
        <v>74</v>
      </c>
      <c r="C62" s="35"/>
      <c r="D62" s="40">
        <v>79</v>
      </c>
      <c r="E62" s="23" t="s">
        <v>42</v>
      </c>
    </row>
    <row r="63" spans="1:5" ht="28.8">
      <c r="A63" s="22">
        <v>46</v>
      </c>
      <c r="B63" s="34" t="s">
        <v>67</v>
      </c>
      <c r="C63" s="35"/>
      <c r="D63" s="40">
        <v>196</v>
      </c>
      <c r="E63" s="23" t="s">
        <v>42</v>
      </c>
    </row>
    <row r="64" spans="1:5" ht="28.8">
      <c r="A64" s="22">
        <v>47</v>
      </c>
      <c r="B64" s="34" t="s">
        <v>69</v>
      </c>
      <c r="C64" s="35"/>
      <c r="D64" s="40">
        <v>1500</v>
      </c>
      <c r="E64" s="23" t="s">
        <v>42</v>
      </c>
    </row>
    <row r="65" spans="1:5" ht="43.2">
      <c r="A65" s="22">
        <v>48</v>
      </c>
      <c r="B65" s="34" t="s">
        <v>72</v>
      </c>
      <c r="C65" s="35"/>
      <c r="D65" s="40">
        <v>126</v>
      </c>
      <c r="E65" s="23" t="s">
        <v>42</v>
      </c>
    </row>
    <row r="66" spans="1:5" ht="28.8">
      <c r="A66" s="22">
        <v>49</v>
      </c>
      <c r="B66" s="34" t="s">
        <v>63</v>
      </c>
      <c r="C66" s="35"/>
      <c r="D66" s="40">
        <v>48</v>
      </c>
      <c r="E66" s="23" t="s">
        <v>42</v>
      </c>
    </row>
    <row r="67" spans="1:5" ht="28.8">
      <c r="A67" s="22">
        <v>50</v>
      </c>
      <c r="B67" s="34" t="s">
        <v>70</v>
      </c>
      <c r="C67" s="35"/>
      <c r="D67" s="40">
        <v>84</v>
      </c>
      <c r="E67" s="23" t="s">
        <v>42</v>
      </c>
    </row>
    <row r="68" spans="1:5" ht="28.8">
      <c r="A68" s="22">
        <v>51</v>
      </c>
      <c r="B68" s="34" t="s">
        <v>65</v>
      </c>
      <c r="C68" s="35"/>
      <c r="D68" s="40">
        <v>26</v>
      </c>
      <c r="E68" s="23" t="s">
        <v>42</v>
      </c>
    </row>
    <row r="69" spans="1:5">
      <c r="A69" s="22">
        <v>52</v>
      </c>
      <c r="B69" s="34" t="s">
        <v>43</v>
      </c>
      <c r="C69" s="35"/>
      <c r="D69" s="40">
        <v>42</v>
      </c>
      <c r="E69" s="23" t="s">
        <v>42</v>
      </c>
    </row>
    <row r="70" spans="1:5">
      <c r="A70" s="22"/>
      <c r="B70" s="37" t="s">
        <v>52</v>
      </c>
      <c r="C70" s="38"/>
      <c r="D70" s="40"/>
      <c r="E70" s="23"/>
    </row>
    <row r="71" spans="1:5" ht="28.8">
      <c r="A71" s="22">
        <v>53</v>
      </c>
      <c r="B71" s="34" t="s">
        <v>65</v>
      </c>
      <c r="C71" s="35"/>
      <c r="D71" s="36">
        <v>18</v>
      </c>
      <c r="E71" s="23" t="s">
        <v>42</v>
      </c>
    </row>
    <row r="72" spans="1:5" ht="28.8">
      <c r="A72" s="22">
        <v>54</v>
      </c>
      <c r="B72" s="34" t="s">
        <v>70</v>
      </c>
      <c r="C72" s="35"/>
      <c r="D72" s="36">
        <v>70</v>
      </c>
      <c r="E72" s="23" t="s">
        <v>42</v>
      </c>
    </row>
    <row r="73" spans="1:5" ht="43.2">
      <c r="A73" s="22">
        <v>55</v>
      </c>
      <c r="B73" s="34" t="s">
        <v>72</v>
      </c>
      <c r="C73" s="35"/>
      <c r="D73" s="36">
        <v>125</v>
      </c>
      <c r="E73" s="23" t="s">
        <v>42</v>
      </c>
    </row>
    <row r="74" spans="1:5" ht="28.8">
      <c r="A74" s="22">
        <v>56</v>
      </c>
      <c r="B74" s="34" t="s">
        <v>63</v>
      </c>
      <c r="C74" s="35"/>
      <c r="D74" s="36">
        <v>39</v>
      </c>
      <c r="E74" s="23" t="s">
        <v>42</v>
      </c>
    </row>
    <row r="75" spans="1:5" ht="57.6">
      <c r="A75" s="22">
        <v>57</v>
      </c>
      <c r="B75" s="34" t="s">
        <v>71</v>
      </c>
      <c r="C75" s="35"/>
      <c r="D75" s="36">
        <v>59</v>
      </c>
      <c r="E75" s="23" t="s">
        <v>42</v>
      </c>
    </row>
    <row r="76" spans="1:5" ht="28.8">
      <c r="A76" s="22">
        <v>58</v>
      </c>
      <c r="B76" s="34" t="s">
        <v>69</v>
      </c>
      <c r="C76" s="35"/>
      <c r="D76" s="36">
        <v>1144</v>
      </c>
      <c r="E76" s="23" t="s">
        <v>42</v>
      </c>
    </row>
    <row r="77" spans="1:5" ht="28.8">
      <c r="A77" s="22">
        <v>59</v>
      </c>
      <c r="B77" s="34" t="s">
        <v>74</v>
      </c>
      <c r="C77" s="35"/>
      <c r="D77" s="36">
        <v>89</v>
      </c>
      <c r="E77" s="23" t="s">
        <v>42</v>
      </c>
    </row>
    <row r="78" spans="1:5" ht="28.8">
      <c r="A78" s="22">
        <v>60</v>
      </c>
      <c r="B78" s="34" t="s">
        <v>67</v>
      </c>
      <c r="C78" s="35"/>
      <c r="D78" s="36">
        <v>144</v>
      </c>
      <c r="E78" s="23" t="s">
        <v>42</v>
      </c>
    </row>
    <row r="79" spans="1:5">
      <c r="A79" s="22">
        <v>61</v>
      </c>
      <c r="B79" s="34" t="s">
        <v>43</v>
      </c>
      <c r="C79" s="35"/>
      <c r="D79" s="36">
        <v>37</v>
      </c>
      <c r="E79" s="23" t="s">
        <v>42</v>
      </c>
    </row>
    <row r="80" spans="1:5">
      <c r="A80" s="22"/>
      <c r="B80" s="37" t="s">
        <v>53</v>
      </c>
      <c r="C80" s="38"/>
      <c r="D80" s="36"/>
      <c r="E80" s="23"/>
    </row>
    <row r="81" spans="1:5" ht="52.5" customHeight="1">
      <c r="A81" s="22">
        <v>62</v>
      </c>
      <c r="B81" s="34" t="s">
        <v>75</v>
      </c>
      <c r="C81" s="35"/>
      <c r="D81" s="23">
        <v>72</v>
      </c>
      <c r="E81" s="23" t="s">
        <v>42</v>
      </c>
    </row>
    <row r="82" spans="1:5">
      <c r="A82" s="22"/>
      <c r="B82" s="37" t="s">
        <v>54</v>
      </c>
      <c r="C82" s="38"/>
      <c r="D82" s="23"/>
      <c r="E82" s="23"/>
    </row>
    <row r="83" spans="1:5" ht="53.25" customHeight="1">
      <c r="A83" s="22">
        <v>63</v>
      </c>
      <c r="B83" s="34" t="s">
        <v>45</v>
      </c>
      <c r="C83" s="35"/>
      <c r="D83" s="40">
        <v>21</v>
      </c>
      <c r="E83" s="23" t="s">
        <v>42</v>
      </c>
    </row>
    <row r="84" spans="1:5" ht="28.8">
      <c r="A84" s="22">
        <v>64</v>
      </c>
      <c r="B84" s="34" t="s">
        <v>74</v>
      </c>
      <c r="C84" s="35"/>
      <c r="D84" s="40">
        <v>104</v>
      </c>
      <c r="E84" s="23" t="s">
        <v>42</v>
      </c>
    </row>
    <row r="85" spans="1:5" ht="28.8">
      <c r="A85" s="22">
        <v>65</v>
      </c>
      <c r="B85" s="34" t="s">
        <v>67</v>
      </c>
      <c r="C85" s="35"/>
      <c r="D85" s="40">
        <v>78</v>
      </c>
      <c r="E85" s="23" t="s">
        <v>42</v>
      </c>
    </row>
    <row r="86" spans="1:5" ht="40.5" customHeight="1">
      <c r="A86" s="22">
        <v>66</v>
      </c>
      <c r="B86" s="34" t="s">
        <v>69</v>
      </c>
      <c r="C86" s="35"/>
      <c r="D86" s="40">
        <v>552</v>
      </c>
      <c r="E86" s="23" t="s">
        <v>42</v>
      </c>
    </row>
    <row r="87" spans="1:5" ht="44.25" customHeight="1">
      <c r="A87" s="22">
        <v>67</v>
      </c>
      <c r="B87" s="34" t="s">
        <v>47</v>
      </c>
      <c r="C87" s="35"/>
      <c r="D87" s="40">
        <v>52</v>
      </c>
      <c r="E87" s="23" t="s">
        <v>42</v>
      </c>
    </row>
    <row r="88" spans="1:5" ht="45.75" customHeight="1">
      <c r="A88" s="22">
        <v>68</v>
      </c>
      <c r="B88" s="34" t="s">
        <v>63</v>
      </c>
      <c r="C88" s="35"/>
      <c r="D88" s="40">
        <v>35</v>
      </c>
      <c r="E88" s="23" t="s">
        <v>42</v>
      </c>
    </row>
    <row r="89" spans="1:5" ht="28.8">
      <c r="A89" s="22">
        <v>69</v>
      </c>
      <c r="B89" s="34" t="s">
        <v>65</v>
      </c>
      <c r="C89" s="35"/>
      <c r="D89" s="40">
        <v>22</v>
      </c>
      <c r="E89" s="23" t="s">
        <v>42</v>
      </c>
    </row>
    <row r="90" spans="1:5" ht="85.5" customHeight="1">
      <c r="A90" s="22">
        <v>70</v>
      </c>
      <c r="B90" s="32" t="s">
        <v>59</v>
      </c>
      <c r="C90" s="35"/>
      <c r="D90" s="40">
        <v>510</v>
      </c>
      <c r="E90" s="23" t="s">
        <v>42</v>
      </c>
    </row>
    <row r="91" spans="1:5">
      <c r="A91" s="22">
        <v>71</v>
      </c>
      <c r="B91" s="34" t="s">
        <v>43</v>
      </c>
      <c r="C91" s="35"/>
      <c r="D91" s="40">
        <v>20</v>
      </c>
      <c r="E91" s="23" t="s">
        <v>42</v>
      </c>
    </row>
  </sheetData>
  <mergeCells count="8">
    <mergeCell ref="B9:D9"/>
    <mergeCell ref="A2:E2"/>
    <mergeCell ref="A3:E3"/>
    <mergeCell ref="A10:A11"/>
    <mergeCell ref="B10:B11"/>
    <mergeCell ref="D10:D11"/>
    <mergeCell ref="E10:E11"/>
    <mergeCell ref="C10:C11"/>
  </mergeCells>
  <pageMargins left="0.7" right="0.7" top="0.75" bottom="0.75" header="0.3" footer="0.3"/>
  <pageSetup paperSize="8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T&amp;C</vt:lpstr>
      <vt:lpstr>COMMERIAL</vt:lpstr>
      <vt:lpstr>COMMERIAL!Print_Area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AbdelWhab</dc:creator>
  <cp:lastModifiedBy>Mohamed AbdelWhab</cp:lastModifiedBy>
  <cp:lastPrinted>2025-11-10T12:46:07Z</cp:lastPrinted>
  <dcterms:created xsi:type="dcterms:W3CDTF">2015-06-05T18:17:20Z</dcterms:created>
  <dcterms:modified xsi:type="dcterms:W3CDTF">2026-05-12T05:55:17Z</dcterms:modified>
</cp:coreProperties>
</file>